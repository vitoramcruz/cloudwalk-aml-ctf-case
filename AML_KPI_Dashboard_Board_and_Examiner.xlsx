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ard_Dashboard" sheetId="1" state="visible" r:id="rId1"/>
    <sheet xmlns:r="http://schemas.openxmlformats.org/officeDocument/2006/relationships" name="Examiner_Dashboard" sheetId="2" state="visible" r:id="rId2"/>
    <sheet xmlns:r="http://schemas.openxmlformats.org/officeDocument/2006/relationships" name="Baseline_Data" sheetId="3" state="visible" r:id="rId3"/>
    <sheet xmlns:r="http://schemas.openxmlformats.org/officeDocument/2006/relationships" name="Document_Control" sheetId="4" state="visible" r:id="rId4"/>
    <sheet xmlns:r="http://schemas.openxmlformats.org/officeDocument/2006/relationships" name="Signatur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2761"/>
      <sz val="16"/>
    </font>
    <font>
      <name val="Calibri"/>
      <charset val="1"/>
      <family val="0"/>
      <i val="1"/>
      <color rgb="FF808080"/>
      <sz val="10"/>
    </font>
    <font>
      <name val="Calibri"/>
      <charset val="1"/>
      <family val="0"/>
      <b val="1"/>
      <color rgb="FFFFFFFF"/>
      <sz val="10"/>
    </font>
    <font>
      <name val="Cambria"/>
      <charset val="1"/>
      <family val="0"/>
      <b val="1"/>
      <color rgb="FF1E2761"/>
      <sz val="10.5"/>
    </font>
    <font>
      <name val="Cambria"/>
      <charset val="1"/>
      <family val="0"/>
      <i val="1"/>
      <color rgb="FF808080"/>
      <sz val="9"/>
    </font>
    <font>
      <name val="Cambria"/>
      <charset val="1"/>
      <family val="0"/>
      <b val="1"/>
      <color rgb="FFC9A227"/>
      <sz val="12"/>
    </font>
    <font>
      <name val="Calibri"/>
      <charset val="1"/>
      <family val="0"/>
      <sz val="10"/>
    </font>
    <font>
      <name val="Cambria"/>
      <charset val="1"/>
      <family val="0"/>
      <b val="1"/>
      <color rgb="FF2E5395"/>
      <sz val="11"/>
    </font>
    <font>
      <name val="Cambria"/>
      <charset val="1"/>
      <family val="0"/>
      <i val="1"/>
      <color rgb="FF808080"/>
      <sz val="8.5"/>
    </font>
    <font>
      <name val="Calibri"/>
      <charset val="1"/>
      <family val="0"/>
      <b val="1"/>
      <color rgb="FF2E5395"/>
      <sz val="10"/>
    </font>
    <font>
      <name val="Calibri"/>
      <charset val="1"/>
      <family val="0"/>
      <b val="1"/>
      <color rgb="FFC9A227"/>
      <sz val="13"/>
    </font>
    <font>
      <name val="Cambria"/>
      <charset val="1"/>
      <family val="0"/>
      <b val="1"/>
      <color rgb="FF1E2761"/>
      <sz val="18"/>
    </font>
    <font>
      <name val="Cambria"/>
      <charset val="1"/>
      <family val="0"/>
      <b val="1"/>
      <color rgb="FF1E2761"/>
      <sz val="10"/>
    </font>
    <font>
      <name val="Cambria"/>
      <charset val="1"/>
      <family val="0"/>
      <color rgb="FF808080"/>
      <sz val="10.5"/>
    </font>
    <font>
      <b val="1"/>
    </font>
  </fonts>
  <fills count="3">
    <fill>
      <patternFill/>
    </fill>
    <fill>
      <patternFill patternType="gray125"/>
    </fill>
    <fill>
      <patternFill patternType="solid">
        <fgColor rgb="FF1E2761"/>
        <bgColor rgb="FF333333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3" fontId="9" fillId="0" borderId="1" applyAlignment="1" pivotButton="0" quotePrefix="0" xfId="0">
      <alignment horizontal="general" vertical="top" wrapText="1"/>
    </xf>
    <xf numFmtId="3" fontId="11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0" fontId="11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0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3" fontId="9" fillId="0" borderId="1" applyAlignment="1" pivotButton="0" quotePrefix="0" xfId="0">
      <alignment horizontal="general" vertical="top" wrapText="1"/>
    </xf>
    <xf numFmtId="3" fontId="11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10" fontId="11" fillId="0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10" fontId="13" fillId="0" borderId="1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8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9A227"/>
    <outlinePr summaryBelow="1" summaryRight="1"/>
    <pageSetUpPr fitToPage="0"/>
  </sheetPr>
  <dimension ref="A1:F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1" min="1" max="1"/>
    <col width="46" customWidth="1" style="21" min="2" max="2"/>
    <col width="16" customWidth="1" style="21" min="3" max="3"/>
    <col width="34" customWidth="1" style="21" min="4" max="4"/>
    <col width="14" customWidth="1" style="21" min="5" max="5"/>
    <col width="22" customWidth="1" style="21" min="6" max="6"/>
  </cols>
  <sheetData>
    <row r="1" ht="25.5" customHeight="1" s="22">
      <c r="A1" s="23" t="inlineStr">
        <is>
          <t>Board Dashboard</t>
        </is>
      </c>
    </row>
    <row r="2" ht="15.75" customHeight="1" s="22">
      <c r="A2" s="24" t="inlineStr">
        <is>
          <t>Six headline KPIs for Board of Directors reporting -- CloudWalk Payments Inc. AML/CTF Program.</t>
        </is>
      </c>
    </row>
    <row r="4" ht="15" customHeight="1" s="22">
      <c r="A4" s="25" t="inlineStr">
        <is>
          <t>KPI</t>
        </is>
      </c>
      <c r="B4" s="25" t="inlineStr">
        <is>
          <t>Formula</t>
        </is>
      </c>
      <c r="C4" s="25" t="inlineStr">
        <is>
          <t>Current Baseline</t>
        </is>
      </c>
      <c r="D4" s="25" t="inlineStr">
        <is>
          <t>Board Notification Threshold</t>
        </is>
      </c>
      <c r="E4" s="25" t="inlineStr">
        <is>
          <t>Frequency</t>
        </is>
      </c>
      <c r="F4" s="25" t="inlineStr">
        <is>
          <t>Owner</t>
        </is>
      </c>
    </row>
    <row r="5" ht="33.75" customHeight="1" s="22">
      <c r="A5" s="26" t="inlineStr">
        <is>
          <t>High-Risk MCC Concentration</t>
        </is>
      </c>
      <c r="B5" s="27" t="inlineStr">
        <is>
          <t>COUNTIF(mcc in {4829,6051,7995,5944,5967,6011}) / COUNT(all txns)</t>
        </is>
      </c>
      <c r="C5" s="28">
        <f>Baseline_Data!$B$12</f>
        <v/>
      </c>
      <c r="D5" s="29" t="inlineStr">
        <is>
          <t>&gt; 50%</t>
        </is>
      </c>
      <c r="E5" s="29" t="inlineStr">
        <is>
          <t>Monthly</t>
        </is>
      </c>
      <c r="F5" s="29" t="inlineStr">
        <is>
          <t>AML Program Manager</t>
        </is>
      </c>
    </row>
    <row r="6" ht="33.75" customHeight="1" s="22">
      <c r="A6" s="26" t="inlineStr">
        <is>
          <t>Cross-Border Transaction Rate</t>
        </is>
      </c>
      <c r="B6" s="27" t="inlineStr">
        <is>
          <t>COUNTIF(merchant_country &lt;&gt; 'US') / COUNT(all txns)</t>
        </is>
      </c>
      <c r="C6" s="28">
        <f>Baseline_Data!$B$14</f>
        <v/>
      </c>
      <c r="D6" s="29" t="inlineStr">
        <is>
          <t>&gt; 30%</t>
        </is>
      </c>
      <c r="E6" s="29" t="inlineStr">
        <is>
          <t>Monthly</t>
        </is>
      </c>
      <c r="F6" s="29" t="inlineStr">
        <is>
          <t>AML Program Manager</t>
        </is>
      </c>
    </row>
    <row r="7" ht="33.75" customHeight="1" s="22">
      <c r="A7" s="26" t="inlineStr">
        <is>
          <t>Portfolio Chargeback Ratio</t>
        </is>
      </c>
      <c r="B7" s="27" t="inlineStr">
        <is>
          <t>COUNTIF(is_chargeback = TRUE) / COUNT(all txns)</t>
        </is>
      </c>
      <c r="C7" s="28">
        <f>Baseline_Data!$B$16</f>
        <v/>
      </c>
      <c r="D7" s="29" t="inlineStr">
        <is>
          <t>&gt; 1.0% (portfolio); &gt; 8% (single merchant, auto-suspend tier)</t>
        </is>
      </c>
      <c r="E7" s="29" t="inlineStr">
        <is>
          <t>Monthly</t>
        </is>
      </c>
      <c r="F7" s="29" t="inlineStr">
        <is>
          <t>Risk &amp; Fraud Lead</t>
        </is>
      </c>
    </row>
    <row r="8" ht="33.75" customHeight="1" s="22">
      <c r="A8" s="26" t="inlineStr">
        <is>
          <t>SARs Filed &amp; Escalations</t>
        </is>
      </c>
      <c r="B8" s="27" t="inlineStr">
        <is>
          <t>COUNT(SAR filings in period) + COUNT(escalations pending EDD)</t>
        </is>
      </c>
      <c r="C8" s="30">
        <f>Baseline_Data!$B$34+Baseline_Data!$B$35</f>
        <v/>
      </c>
      <c r="D8" s="29" t="inlineStr">
        <is>
          <t>&gt; 15 filings in a single month (volume spike)</t>
        </is>
      </c>
      <c r="E8" s="29" t="inlineStr">
        <is>
          <t>Monthly</t>
        </is>
      </c>
      <c r="F8" s="29" t="inlineStr">
        <is>
          <t>AML Compliance Officer</t>
        </is>
      </c>
    </row>
    <row r="9" ht="33.75" customHeight="1" s="22">
      <c r="A9" s="26" t="inlineStr">
        <is>
          <t>Sanctions / PEP / UBO Exposure</t>
        </is>
      </c>
      <c r="B9" s="27" t="inlineStr">
        <is>
          <t>COUNT(sanctions_match_score &gt; 0.7) + COUNT(pep_flag = TRUE) + COUNT(merchants meeting OFAC 50% Rule)</t>
        </is>
      </c>
      <c r="C9" s="30">
        <f>Baseline_Data!$B$23+Baseline_Data!$B$22+Baseline_Data!$B$26</f>
        <v/>
      </c>
      <c r="D9" s="29" t="inlineStr">
        <is>
          <t>Any new OFAC 50% Rule merchant match</t>
        </is>
      </c>
      <c r="E9" s="29" t="inlineStr">
        <is>
          <t>Monthly (immediate for new sanctions hit)</t>
        </is>
      </c>
      <c r="F9" s="29" t="inlineStr">
        <is>
          <t>Sanctions Compliance Officer</t>
        </is>
      </c>
    </row>
    <row r="10" ht="33.75" customHeight="1" s="22">
      <c r="A10" s="26" t="inlineStr">
        <is>
          <t>ECOM Authentication Gap</t>
        </is>
      </c>
      <c r="B10" s="27" t="inlineStr">
        <is>
          <t>COUNTIF(channel='ECOM' AND pos_entry_mode='KEYED') / COUNT(channel='ECOM')</t>
        </is>
      </c>
      <c r="C10" s="28">
        <f>Baseline_Data!$B$21</f>
        <v/>
      </c>
      <c r="D10" s="29" t="inlineStr">
        <is>
          <t>&gt; 40%</t>
        </is>
      </c>
      <c r="E10" s="29" t="inlineStr">
        <is>
          <t>Monthly</t>
        </is>
      </c>
      <c r="F10" s="29" t="inlineStr">
        <is>
          <t>Fraud &amp; Payments Risk Lead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1" min="1" max="1"/>
    <col width="30" customWidth="1" style="21" min="2" max="2"/>
    <col width="44" customWidth="1" style="21" min="3" max="3"/>
    <col width="30" customWidth="1" style="21" min="4" max="4"/>
    <col width="32" customWidth="1" style="21" min="5" max="5"/>
    <col width="20" customWidth="1" style="21" min="6" max="6"/>
  </cols>
  <sheetData>
    <row r="1" ht="25.5" customHeight="1" s="22">
      <c r="A1" s="23" t="inlineStr">
        <is>
          <t>Examiner Dashboard</t>
        </is>
      </c>
    </row>
    <row r="2" ht="15.75" customHeight="1" s="22">
      <c r="A2" s="24" t="inlineStr">
        <is>
          <t>Fifteen detailed KPIs for regulatory examination -- CloudWalk Payments Inc. AML/CTF Program.</t>
        </is>
      </c>
    </row>
    <row r="4" ht="15" customHeight="1" s="22">
      <c r="A4" s="25" t="inlineStr">
        <is>
          <t>#</t>
        </is>
      </c>
      <c r="B4" s="25" t="inlineStr">
        <is>
          <t>KPI</t>
        </is>
      </c>
      <c r="C4" s="25" t="inlineStr">
        <is>
          <t>Formula</t>
        </is>
      </c>
      <c r="D4" s="25" t="inlineStr">
        <is>
          <t>Current Baseline</t>
        </is>
      </c>
      <c r="E4" s="25" t="inlineStr">
        <is>
          <t>Critical Threshold</t>
        </is>
      </c>
      <c r="F4" s="25" t="inlineStr">
        <is>
          <t>Owner</t>
        </is>
      </c>
    </row>
    <row r="5" ht="39.75" customHeight="1" s="22">
      <c r="A5" s="29" t="n">
        <v>1</v>
      </c>
      <c r="B5" s="26" t="inlineStr">
        <is>
          <t>Alert Volume (Total)</t>
        </is>
      </c>
      <c r="C5" s="27" t="inlineStr">
        <is>
          <t>COUNT(distinct customers with &gt;=1 confirmed typology hit)</t>
        </is>
      </c>
      <c r="D5" s="31">
        <f>Baseline_Data!$B$32</f>
        <v/>
      </c>
      <c r="E5" s="29" t="inlineStr">
        <is>
          <t>&gt; 150% of trailing 3-month average</t>
        </is>
      </c>
      <c r="F5" s="29" t="inlineStr">
        <is>
          <t>Senior AML Analyst</t>
        </is>
      </c>
    </row>
    <row r="6" ht="39.75" customHeight="1" s="22">
      <c r="A6" s="29" t="n">
        <v>2</v>
      </c>
      <c r="B6" s="26" t="inlineStr">
        <is>
          <t>Alert Volume by Typology (T01-T11)</t>
        </is>
      </c>
      <c r="C6" s="27" t="inlineStr">
        <is>
          <t>COUNT(alerts) GROUP BY typology_code</t>
        </is>
      </c>
      <c r="D6" s="32" t="inlineStr">
        <is>
          <t>See Section4a_SQL_Detection_Queries.sql / AML_Suspect_Detection_Results.xlsx for the per-typology breakdown</t>
        </is>
      </c>
      <c r="E6" s="29" t="inlineStr">
        <is>
          <t>Any typology &gt; 2x its own baseline</t>
        </is>
      </c>
      <c r="F6" s="29" t="inlineStr">
        <is>
          <t>Senior AML Analyst</t>
        </is>
      </c>
    </row>
    <row r="7" ht="39.75" customHeight="1" s="22">
      <c r="A7" s="29" t="n">
        <v>3</v>
      </c>
      <c r="B7" s="26" t="inlineStr">
        <is>
          <t>High-Risk MCC Share of Transactions</t>
        </is>
      </c>
      <c r="C7" s="27" t="inlineStr">
        <is>
          <t>COUNTIF(mcc in high-risk set) / COUNT(all txns)</t>
        </is>
      </c>
      <c r="D7" s="33">
        <f>Baseline_Data!$B$12</f>
        <v/>
      </c>
      <c r="E7" s="29" t="inlineStr">
        <is>
          <t>&gt; 50%</t>
        </is>
      </c>
      <c r="F7" s="29" t="inlineStr">
        <is>
          <t>AML Program Manager</t>
        </is>
      </c>
    </row>
    <row r="8" ht="39.75" customHeight="1" s="22">
      <c r="A8" s="29" t="n">
        <v>4</v>
      </c>
      <c r="B8" s="26" t="inlineStr">
        <is>
          <t>High-Risk-MCC-Flagged Merchant Share</t>
        </is>
      </c>
      <c r="C8" s="27" t="inlineStr">
        <is>
          <t>COUNTIF(high_risk_mcc_flag=TRUE) / COUNT(all merchants)</t>
        </is>
      </c>
      <c r="D8" s="33">
        <f>Baseline_Data!$B$25</f>
        <v/>
      </c>
      <c r="E8" s="29" t="inlineStr">
        <is>
          <t>&gt; 60%</t>
        </is>
      </c>
      <c r="F8" s="29" t="inlineStr">
        <is>
          <t>KYB Specialist</t>
        </is>
      </c>
    </row>
    <row r="9" ht="39.75" customHeight="1" s="22">
      <c r="A9" s="29" t="n">
        <v>5</v>
      </c>
      <c r="B9" s="26" t="inlineStr">
        <is>
          <t>Cross-Border Transaction Rate</t>
        </is>
      </c>
      <c r="C9" s="27" t="inlineStr">
        <is>
          <t>COUNTIF(merchant_country &lt;&gt; 'US') / COUNT(all txns)</t>
        </is>
      </c>
      <c r="D9" s="33">
        <f>Baseline_Data!$B$14</f>
        <v/>
      </c>
      <c r="E9" s="29" t="inlineStr">
        <is>
          <t>&gt; 30%</t>
        </is>
      </c>
      <c r="F9" s="29" t="inlineStr">
        <is>
          <t>AML Program Manager</t>
        </is>
      </c>
    </row>
    <row r="10" ht="39.75" customHeight="1" s="22">
      <c r="A10" s="29" t="n">
        <v>6</v>
      </c>
      <c r="B10" s="26" t="inlineStr">
        <is>
          <t>SARs Filed (Period)</t>
        </is>
      </c>
      <c r="C10" s="27" t="inlineStr">
        <is>
          <t>COUNT(SAR filings in period)</t>
        </is>
      </c>
      <c r="D10" s="31">
        <f>Baseline_Data!$B$34</f>
        <v/>
      </c>
      <c r="E10" s="29" t="inlineStr">
        <is>
          <t>n/a -- tracked, not thresholded</t>
        </is>
      </c>
      <c r="F10" s="29" t="inlineStr">
        <is>
          <t>AML Compliance Officer</t>
        </is>
      </c>
    </row>
    <row r="11" ht="39.75" customHeight="1" s="22">
      <c r="A11" s="29" t="n">
        <v>7</v>
      </c>
      <c r="B11" s="26" t="inlineStr">
        <is>
          <t>SARs Filed by Typology</t>
        </is>
      </c>
      <c r="C11" s="27" t="inlineStr">
        <is>
          <t>COUNT(SAR filings) GROUP BY typology_code</t>
        </is>
      </c>
      <c r="D11" s="32" t="inlineStr">
        <is>
          <t>See Section3_Suspicious_Activity_Report_SAR.docx Part I for the subject-level typology mapping</t>
        </is>
      </c>
      <c r="E11" s="29" t="inlineStr">
        <is>
          <t>n/a -- tracked, not thresholded</t>
        </is>
      </c>
      <c r="F11" s="29" t="inlineStr">
        <is>
          <t>AML Compliance Officer</t>
        </is>
      </c>
    </row>
    <row r="12" ht="39.75" customHeight="1" s="22">
      <c r="A12" s="29" t="n">
        <v>8</v>
      </c>
      <c r="B12" s="26" t="inlineStr">
        <is>
          <t>Portfolio Chargeback Ratio</t>
        </is>
      </c>
      <c r="C12" s="27" t="inlineStr">
        <is>
          <t>COUNTIF(is_chargeback=TRUE) / COUNT(all txns)</t>
        </is>
      </c>
      <c r="D12" s="33">
        <f>Baseline_Data!$B$16</f>
        <v/>
      </c>
      <c r="E12" s="29" t="inlineStr">
        <is>
          <t>&gt; 1.0%</t>
        </is>
      </c>
      <c r="F12" s="29" t="inlineStr">
        <is>
          <t>Risk &amp; Fraud Lead</t>
        </is>
      </c>
    </row>
    <row r="13" ht="39.75" customHeight="1" s="22">
      <c r="A13" s="29" t="n">
        <v>9</v>
      </c>
      <c r="B13" s="26" t="inlineStr">
        <is>
          <t>Merchant Outlier Chargeback Ratio</t>
        </is>
      </c>
      <c r="C13" s="27" t="inlineStr">
        <is>
          <t>MAX(chargeback ratio) GROUP BY merchant_id</t>
        </is>
      </c>
      <c r="D13" s="33">
        <f>Baseline_Data!$B$18</f>
        <v/>
      </c>
      <c r="E13" s="29" t="inlineStr">
        <is>
          <t>&gt; 8% (auto-suspend tier)</t>
        </is>
      </c>
      <c r="F13" s="29" t="inlineStr">
        <is>
          <t>Risk &amp; Fraud Lead</t>
        </is>
      </c>
    </row>
    <row r="14" ht="39.75" customHeight="1" s="22">
      <c r="A14" s="29" t="n">
        <v>10</v>
      </c>
      <c r="B14" s="26" t="inlineStr">
        <is>
          <t>False-Positive Rate (Monitoring-Model Proxy)</t>
        </is>
      </c>
      <c r="C14" s="27" t="inlineStr">
        <is>
          <t>1 - (escalated candidates / total alerting customers)</t>
        </is>
      </c>
      <c r="D14" s="32" t="inlineStr">
        <is>
          <t>Not yet measured -- pre-live-monitoring baseline; precision floors are pre-committed (&gt;=10% single-signal, &gt;=5% combination rules)</t>
        </is>
      </c>
      <c r="E14" s="29" t="inlineStr">
        <is>
          <t>&gt;=90% FPR sustained for 2 consecutive months</t>
        </is>
      </c>
      <c r="F14" s="29" t="inlineStr">
        <is>
          <t>Senior AML Analyst</t>
        </is>
      </c>
    </row>
    <row r="15" ht="39.75" customHeight="1" s="22">
      <c r="A15" s="29" t="n">
        <v>11</v>
      </c>
      <c r="B15" s="26" t="inlineStr">
        <is>
          <t>EDD Completion Rate</t>
        </is>
      </c>
      <c r="C15" s="27" t="inlineStr">
        <is>
          <t>COUNT(EDD cases closed) / COUNT(EDD cases opened)</t>
        </is>
      </c>
      <c r="D15" s="32" t="inlineStr">
        <is>
          <t>242 cases opened (5 URGENT / 14 HIGH / 223 MEDIUM); completion tracking begins at monitoring go-live</t>
        </is>
      </c>
      <c r="E15" s="29" t="inlineStr">
        <is>
          <t>&lt; 80% completion within SLA tier deadline</t>
        </is>
      </c>
      <c r="F15" s="29" t="inlineStr">
        <is>
          <t>KYC/EDD Team Lead</t>
        </is>
      </c>
    </row>
    <row r="16" ht="39.75" customHeight="1" s="22">
      <c r="A16" s="29" t="n">
        <v>12</v>
      </c>
      <c r="B16" s="26" t="inlineStr">
        <is>
          <t>Average Investigation Time by SLA Tier</t>
        </is>
      </c>
      <c r="C16" s="27" t="inlineStr">
        <is>
          <t>AVG(disposition_date - alert_date) GROUP BY tier</t>
        </is>
      </c>
      <c r="D16" s="32" t="inlineStr">
        <is>
          <t>P1 (Critical): target &lt;=48h decision; P2 (High): target &lt;=5 business days; P3 (Standard): target &lt;=15 calendar days</t>
        </is>
      </c>
      <c r="E16" s="29" t="inlineStr">
        <is>
          <t>Any tier average exceeding its target for 2 consecutive months</t>
        </is>
      </c>
      <c r="F16" s="29" t="inlineStr">
        <is>
          <t>Investigations QA Lead</t>
        </is>
      </c>
    </row>
    <row r="17" ht="39.75" customHeight="1" s="22">
      <c r="A17" s="29" t="n">
        <v>13</v>
      </c>
      <c r="B17" s="26" t="inlineStr">
        <is>
          <t>Device-Sharing Alerts</t>
        </is>
      </c>
      <c r="C17" s="27" t="inlineStr">
        <is>
          <t>COUNT(devices with &gt;=3 distinct customers in 60-min window)</t>
        </is>
      </c>
      <c r="D17" s="31">
        <f>Baseline_Data!$B$27</f>
        <v/>
      </c>
      <c r="E17" s="29" t="inlineStr">
        <is>
          <t>&gt;= 5 distinct customers on one device (hard-block tier)</t>
        </is>
      </c>
      <c r="F17" s="29" t="inlineStr">
        <is>
          <t>Senior AML Analyst</t>
        </is>
      </c>
    </row>
    <row r="18" ht="39.75" customHeight="1" s="22">
      <c r="A18" s="29" t="n">
        <v>14</v>
      </c>
      <c r="B18" s="26" t="inlineStr">
        <is>
          <t>ECOM Without 3DS at High-Risk MCC</t>
        </is>
      </c>
      <c r="C18" s="27" t="inlineStr">
        <is>
          <t>COUNTIF(channel='ECOM' AND pos_entry_mode='KEYED') / COUNT(channel='ECOM')</t>
        </is>
      </c>
      <c r="D18" s="33">
        <f>Baseline_Data!$B$21</f>
        <v/>
      </c>
      <c r="E18" s="29" t="inlineStr">
        <is>
          <t>&gt; 40%</t>
        </is>
      </c>
      <c r="F18" s="29" t="inlineStr">
        <is>
          <t>Fraud &amp; Payments Risk Lead</t>
        </is>
      </c>
    </row>
    <row r="19" ht="39.75" customHeight="1" s="22">
      <c r="A19" s="29" t="n">
        <v>15</v>
      </c>
      <c r="B19" s="26" t="inlineStr">
        <is>
          <t>Sanctions / PEP / UBO Exposure</t>
        </is>
      </c>
      <c r="C19" s="27" t="inlineStr">
        <is>
          <t>COUNT(sanctions_match_score&gt;0.7) + COUNT(pep_flag=TRUE) + COUNT(OFAC 50% Rule merchants)</t>
        </is>
      </c>
      <c r="D19" s="31">
        <f>Baseline_Data!$B$23+Baseline_Data!$B$22+Baseline_Data!$B$26</f>
        <v/>
      </c>
      <c r="E19" s="29" t="inlineStr">
        <is>
          <t>Any new OFAC 50% Rule merchant match</t>
        </is>
      </c>
      <c r="F19" s="29" t="inlineStr">
        <is>
          <t>Sanctions Compliance Officer</t>
        </is>
      </c>
    </row>
    <row r="21" ht="39.75" customHeight="1" s="22">
      <c r="A21" s="34" t="inlineStr">
        <is>
          <t>Note: rows without a live-formula baseline (Alert Volume by Typology, SARs Filed by Typology, False-Positive Rate, EDD Completion Rate, Average Investigation Time) point to the detail workbook/report that carries the full breakdown, per the case's own documented data availability at this stage (pre-live-monitoring baseline).</t>
        </is>
      </c>
    </row>
  </sheetData>
  <mergeCells count="1">
    <mergeCell ref="A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B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2" customWidth="1" style="21" min="1" max="1"/>
    <col width="26" customWidth="1" style="21" min="2" max="2"/>
  </cols>
  <sheetData>
    <row r="1" ht="25.5" customHeight="1" s="22">
      <c r="A1" s="23" t="inlineStr">
        <is>
          <t>Baseline Data</t>
        </is>
      </c>
    </row>
    <row r="2" ht="15.75" customHeight="1" s="22">
      <c r="A2" s="24" t="inlineStr">
        <is>
          <t>Every figure below is computed live from AMLFT_Analyst_JIM__1_.xlsx -- not hardcoded.</t>
        </is>
      </c>
    </row>
    <row r="4" ht="15" customHeight="1" s="22">
      <c r="A4" s="35" t="inlineStr">
        <is>
          <t>Reporting period start</t>
        </is>
      </c>
      <c r="B4" s="36" t="inlineStr">
        <is>
          <t>2025-03-01T00:00:50Z</t>
        </is>
      </c>
    </row>
    <row r="5" ht="15" customHeight="1" s="22">
      <c r="A5" s="35" t="inlineStr">
        <is>
          <t>Reporting period end</t>
        </is>
      </c>
      <c r="B5" s="36" t="inlineStr">
        <is>
          <t>2025-11-07T23:43:56Z</t>
        </is>
      </c>
    </row>
    <row r="6" ht="15" customHeight="1" s="22">
      <c r="A6" s="35" t="inlineStr">
        <is>
          <t>Reporting period (days)</t>
        </is>
      </c>
      <c r="B6" s="36" t="n">
        <v>252</v>
      </c>
    </row>
    <row r="7" ht="15" customHeight="1" s="22">
      <c r="A7" s="35" t="inlineStr">
        <is>
          <t>Total transactions</t>
        </is>
      </c>
      <c r="B7" s="36" t="n">
        <v>32348</v>
      </c>
    </row>
    <row r="8" ht="15" customHeight="1" s="22">
      <c r="A8" s="35" t="inlineStr">
        <is>
          <t>Total customers</t>
        </is>
      </c>
      <c r="B8" s="36" t="n">
        <v>501</v>
      </c>
    </row>
    <row r="9" ht="15" customHeight="1" s="22">
      <c r="A9" s="35" t="inlineStr">
        <is>
          <t>Total merchants</t>
        </is>
      </c>
      <c r="B9" s="36" t="n">
        <v>100</v>
      </c>
    </row>
    <row r="10" ht="15" customHeight="1" s="22">
      <c r="A10" s="35" t="inlineStr">
        <is>
          <t>Total cards</t>
        </is>
      </c>
      <c r="B10" s="36" t="n">
        <v>630</v>
      </c>
    </row>
    <row r="11" ht="15" customHeight="1" s="22">
      <c r="A11" s="35" t="inlineStr">
        <is>
          <t>High-risk MCC transactions</t>
        </is>
      </c>
      <c r="B11" s="36" t="n">
        <v>13302</v>
      </c>
    </row>
    <row r="12" ht="15" customHeight="1" s="22">
      <c r="A12" s="35" t="inlineStr">
        <is>
          <t>High-risk MCC concentration</t>
        </is>
      </c>
      <c r="B12" s="37" t="n">
        <v>0.411215531099295</v>
      </c>
    </row>
    <row r="13" ht="15" customHeight="1" s="22">
      <c r="A13" s="35" t="inlineStr">
        <is>
          <t>Cross-border transactions</t>
        </is>
      </c>
      <c r="B13" s="36" t="n">
        <v>7479</v>
      </c>
    </row>
    <row r="14" ht="15" customHeight="1" s="22">
      <c r="A14" s="35" t="inlineStr">
        <is>
          <t>Cross-border rate</t>
        </is>
      </c>
      <c r="B14" s="37" t="n">
        <v>0.23120440212687</v>
      </c>
    </row>
    <row r="15" ht="15" customHeight="1" s="22">
      <c r="A15" s="35" t="inlineStr">
        <is>
          <t>Chargeback transactions</t>
        </is>
      </c>
      <c r="B15" s="36" t="n">
        <v>236</v>
      </c>
    </row>
    <row r="16" ht="15" customHeight="1" s="22">
      <c r="A16" s="35" t="inlineStr">
        <is>
          <t>Portfolio chargeback ratio</t>
        </is>
      </c>
      <c r="B16" s="37" t="n">
        <v>0.0072956597007543</v>
      </c>
    </row>
    <row r="17" ht="15" customHeight="1" s="22">
      <c r="A17" s="35" t="inlineStr">
        <is>
          <t>Outlier merchant (highest chargeback ratio)</t>
        </is>
      </c>
      <c r="B17" s="36" t="inlineStr">
        <is>
          <t>M3030</t>
        </is>
      </c>
    </row>
    <row r="18" ht="15" customHeight="1" s="22">
      <c r="A18" s="35" t="inlineStr">
        <is>
          <t>Outlier merchant chargeback ratio</t>
        </is>
      </c>
      <c r="B18" s="37" t="n">
        <v>0.120218579234973</v>
      </c>
    </row>
    <row r="19" ht="15" customHeight="1" s="22">
      <c r="A19" s="35" t="inlineStr">
        <is>
          <t>ECOM transactions</t>
        </is>
      </c>
      <c r="B19" s="36" t="n">
        <v>17696</v>
      </c>
    </row>
    <row r="20" ht="15" customHeight="1" s="22">
      <c r="A20" s="35" t="inlineStr">
        <is>
          <t>ECOM KEYED (no-3DS) transactions</t>
        </is>
      </c>
      <c r="B20" s="36" t="n">
        <v>5983</v>
      </c>
    </row>
    <row r="21" ht="15" customHeight="1" s="22">
      <c r="A21" s="35" t="inlineStr">
        <is>
          <t>ECOM without 3DS share</t>
        </is>
      </c>
      <c r="B21" s="37" t="n">
        <v>0.338099005424955</v>
      </c>
    </row>
    <row r="22" ht="15" customHeight="1" s="22">
      <c r="A22" s="35" t="inlineStr">
        <is>
          <t>PEP customers</t>
        </is>
      </c>
      <c r="B22" s="36" t="n">
        <v>16</v>
      </c>
    </row>
    <row r="23" ht="15" customHeight="1" s="22">
      <c r="A23" s="35" t="inlineStr">
        <is>
          <t>Customers with sanctions_match_score &gt; 0.7</t>
        </is>
      </c>
      <c r="B23" s="36" t="n">
        <v>1</v>
      </c>
    </row>
    <row r="24" ht="15" customHeight="1" s="22">
      <c r="A24" s="35" t="inlineStr">
        <is>
          <t>High-risk-MCC-flagged merchants</t>
        </is>
      </c>
      <c r="B24" s="36" t="n">
        <v>41</v>
      </c>
    </row>
    <row r="25" ht="15" customHeight="1" s="22">
      <c r="A25" s="35" t="inlineStr">
        <is>
          <t>High-risk-MCC merchant share</t>
        </is>
      </c>
      <c r="B25" s="37" t="n">
        <v>0.41</v>
      </c>
    </row>
    <row r="26" ht="15" customHeight="1" s="22">
      <c r="A26" s="35" t="inlineStr">
        <is>
          <t>OFAC 50% Rule merchants (Section 2.b critical case analysis)</t>
        </is>
      </c>
      <c r="B26" s="36" t="n">
        <v>4</v>
      </c>
    </row>
    <row r="27" ht="15" customHeight="1" s="22">
      <c r="A27" s="35" t="inlineStr">
        <is>
          <t>Device-sharing flagship ring size (60-min window, from detection_engine.py)</t>
        </is>
      </c>
      <c r="B27" s="36" t="n">
        <v>12</v>
      </c>
    </row>
    <row r="28" ht="15" customHeight="1" s="22">
      <c r="A28" s="35" t="inlineStr">
        <is>
          <t>EDD population (Section 2.a A-K criteria)</t>
        </is>
      </c>
      <c r="B28" s="36" t="n">
        <v>242</v>
      </c>
    </row>
    <row r="29" ht="15" customHeight="1" s="22">
      <c r="A29" s="35" t="inlineStr">
        <is>
          <t>EDD -- URGENT priority</t>
        </is>
      </c>
      <c r="B29" s="36" t="n">
        <v>5</v>
      </c>
    </row>
    <row r="30" ht="15" customHeight="1" s="22">
      <c r="A30" s="35" t="inlineStr">
        <is>
          <t>EDD -- HIGH priority</t>
        </is>
      </c>
      <c r="B30" s="36" t="n">
        <v>14</v>
      </c>
    </row>
    <row r="31" ht="15" customHeight="1" s="22">
      <c r="A31" s="35" t="inlineStr">
        <is>
          <t>EDD -- MEDIUM priority</t>
        </is>
      </c>
      <c r="B31" s="36" t="n">
        <v>223</v>
      </c>
    </row>
    <row r="32" ht="15" customHeight="1" s="22">
      <c r="A32" s="35" t="inlineStr">
        <is>
          <t>Total rule-confirmed alerts, 11 typologies (Section 4.b engine)</t>
        </is>
      </c>
      <c r="B32" s="36" t="n">
        <v>676</v>
      </c>
    </row>
    <row r="33" ht="15" customHeight="1" s="22">
      <c r="A33" s="35" t="inlineStr">
        <is>
          <t>Average alert volume per month</t>
        </is>
      </c>
      <c r="B33" s="38" t="n">
        <v>81.65650793650789</v>
      </c>
    </row>
    <row r="34" ht="15" customHeight="1" s="22">
      <c r="A34" s="35" t="inlineStr">
        <is>
          <t>SARs filed (Section 3 / Section 4.b casework, top-10 review)</t>
        </is>
      </c>
      <c r="B34" s="36" t="n">
        <v>9</v>
      </c>
    </row>
    <row r="35" ht="15" customHeight="1" s="22">
      <c r="A35" s="35" t="inlineStr">
        <is>
          <t>Alerts escalated pending EDD (not yet filed)</t>
        </is>
      </c>
      <c r="B35" s="36" t="n">
        <v>1</v>
      </c>
    </row>
    <row r="36" ht="15" customHeight="1" s="22">
      <c r="A36" s="35" t="inlineStr">
        <is>
          <t>Top-ranked alerts investigated in full casework</t>
        </is>
      </c>
      <c r="B36" s="36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9A227"/>
    <outlinePr summaryBelow="1" summaryRight="1"/>
    <pageSetUpPr fitToPage="0"/>
  </sheetPr>
  <dimension ref="A1:B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1" min="1" max="1"/>
    <col width="95" customWidth="1" style="21" min="2" max="2"/>
  </cols>
  <sheetData>
    <row r="1" ht="16.15" customHeight="1" s="22">
      <c r="A1" s="39" t="inlineStr">
        <is>
          <t>DOCUMENT CONTROL</t>
        </is>
      </c>
    </row>
    <row r="2" ht="22.05" customHeight="1" s="22">
      <c r="A2" s="40" t="inlineStr">
        <is>
          <t>Authorship &amp; Integrity Record</t>
        </is>
      </c>
    </row>
    <row r="4" ht="30" customHeight="1" s="22">
      <c r="A4" s="41" t="inlineStr">
        <is>
          <t>AUTHOR</t>
        </is>
      </c>
      <c r="B4" s="42" t="inlineStr">
        <is>
          <t>Vitor Cruz</t>
        </is>
      </c>
    </row>
    <row r="5" ht="30" customHeight="1" s="22">
      <c r="A5" s="41" t="inlineStr">
        <is>
          <t>DATE PRODUCED</t>
        </is>
      </c>
      <c r="B5" s="42" t="inlineStr">
        <is>
          <t>24/08/2026</t>
        </is>
      </c>
    </row>
    <row r="6" ht="30" customHeight="1" s="22">
      <c r="A6" s="41" t="inlineStr">
        <is>
          <t>CASE</t>
        </is>
      </c>
      <c r="B6" s="42" t="inlineStr">
        <is>
          <t>CloudWalk Payments Inc. -- AML/CTF Technical Case (AML-FT Analyst)</t>
        </is>
      </c>
    </row>
    <row r="7" ht="30" customHeight="1" s="22">
      <c r="A7" s="41" t="inlineStr">
        <is>
          <t>PURPOSE</t>
        </is>
      </c>
      <c r="B7" s="42" t="inlineStr">
        <is>
          <t>Case exercise prepared for application to CloudWalk's AML US role</t>
        </is>
      </c>
    </row>
    <row r="8" ht="30" customHeight="1" s="22">
      <c r="A8" s="41" t="inlineStr">
        <is>
          <t>CLASSIFICATION</t>
        </is>
      </c>
      <c r="B8" s="42" t="inlineStr">
        <is>
          <t>Internal -- Confidential (case exercise; contains synthetic data only)</t>
        </is>
      </c>
    </row>
    <row r="9" ht="30" customHeight="1" s="22">
      <c r="A9" s="41" t="inlineStr">
        <is>
          <t>INTEGRITY REFERENCE</t>
        </is>
      </c>
      <c r="B9" s="42" t="inlineStr">
        <is>
          <t>SHA-256 checksum for this file is listed in SIGNATURE_MANIFEST.md, distributed with the full delivery package.</t>
        </is>
      </c>
    </row>
    <row r="10" ht="30" customHeight="1" s="22">
      <c r="A10" s="41" t="inlineStr">
        <is>
          <t>REGENERATED</t>
        </is>
      </c>
      <c r="B10" s="42" t="inlineStr">
        <is>
          <t>This workbook was rebuilt in v5 directly from AMLFT_Analyst_JIM__1_.xlsx, since the version produced in an earlier session (AML_KPI_Dashboard_Board_and_Examiner.xlsx) was never persisted to Project Knowledge. All baseline figures were recomputed fresh and matched the previously reported values (41.1% high-risk MCC, 23.1% cross-border, 0.73% portfolio chargeback ratio, 33.8% ECOM without 3DS).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style="22" min="1" max="1"/>
    <col width="90" customWidth="1" style="22" min="2" max="2"/>
  </cols>
  <sheetData>
    <row r="1">
      <c r="A1" s="43" t="inlineStr">
        <is>
          <t>Candidate</t>
        </is>
      </c>
      <c r="B1" t="inlineStr">
        <is>
          <t>Vitor Cruz</t>
        </is>
      </c>
    </row>
    <row r="2">
      <c r="A2" s="43" t="inlineStr">
        <is>
          <t>Submission date</t>
        </is>
      </c>
      <c r="B2" t="inlineStr">
        <is>
          <t>2026-08-24</t>
        </is>
      </c>
    </row>
    <row r="3">
      <c r="A3" s="43" t="inlineStr">
        <is>
          <t>Target role</t>
        </is>
      </c>
      <c r="B3" t="inlineStr">
        <is>
          <t>AML/CTF Analyst (US) — CloudWalk Payments Inc.</t>
        </is>
      </c>
    </row>
    <row r="4">
      <c r="A4" s="43" t="inlineStr">
        <is>
          <t>Statement</t>
        </is>
      </c>
      <c r="B4" t="inlineStr">
        <is>
          <t>This workbook is part of the CloudWalk AML/CTF technical case submission prepared by Vitor Cruz.</t>
        </is>
      </c>
    </row>
    <row r="5">
      <c r="A5" s="43" t="inlineStr">
        <is>
          <t>Integrity</t>
        </is>
      </c>
      <c r="B5" t="inlineStr">
        <is>
          <t>See MANIFEST_AND_SIGNATURES.pdf (package root) for this file's SHA-256 checksum and digital signature.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Vitor Cruz</dc:creator>
  <dc:title xmlns:dc="http://purl.org/dc/elements/1.1/">AML KPI Dashboard Board and Examiner</dc:title>
  <dc:description xmlns:dc="http://purl.org/dc/elements/1.1/">Prepared by Vitor Cruz, 2026-08-24, as a technical case submission for the AML/CTF Analyst (US) role at CloudWalk Payments Inc.</dc:description>
  <dc:subject xmlns:dc="http://purl.org/dc/elements/1.1/">CloudWalk AML/CTF Technical Case — AML-FT Analyst (US) Role Submission</dc:subject>
  <dc:language xmlns:dc="http://purl.org/dc/elements/1.1/">en-US</dc:language>
  <dcterms:created xmlns:dcterms="http://purl.org/dc/terms/" xmlns:xsi="http://www.w3.org/2001/XMLSchema-instance" xsi:type="dcterms:W3CDTF">2026-08-24T00:00:00Z</dcterms:created>
  <dcterms:modified xmlns:dcterms="http://purl.org/dc/terms/" xmlns:xsi="http://www.w3.org/2001/XMLSchema-instance" xsi:type="dcterms:W3CDTF">2026-08-25T16:49:11Z</dcterms:modified>
  <cp:lastModifiedBy>Vitor Cruz</cp:lastModifiedBy>
  <cp:revision>0</cp:revision>
</cp:coreProperties>
</file>